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aulo Barros\Documents\BAS ENGENHARIA\PORTICO-10TON\PORTICO10TON\teste_portico\"/>
    </mc:Choice>
  </mc:AlternateContent>
  <xr:revisionPtr revIDLastSave="0" documentId="13_ncr:1_{FCDF2D75-3A75-4832-9D4C-33D4DBACDA92}" xr6:coauthVersionLast="47" xr6:coauthVersionMax="47" xr10:uidLastSave="{00000000-0000-0000-0000-000000000000}"/>
  <bookViews>
    <workbookView xWindow="20370" yWindow="-120" windowWidth="20640" windowHeight="1116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  <c r="M7" i="1"/>
  <c r="M8" i="1"/>
  <c r="M9" i="1"/>
  <c r="M10" i="1"/>
  <c r="M5" i="1"/>
  <c r="F13" i="1"/>
  <c r="E13" i="1"/>
  <c r="F14" i="1"/>
  <c r="F15" i="1"/>
  <c r="G15" i="1" s="1"/>
  <c r="F16" i="1"/>
  <c r="F17" i="1"/>
  <c r="F18" i="1"/>
  <c r="E14" i="1"/>
  <c r="E15" i="1"/>
  <c r="E16" i="1"/>
  <c r="G16" i="1" s="1"/>
  <c r="E17" i="1"/>
  <c r="E18" i="1"/>
  <c r="G18" i="1" s="1"/>
  <c r="G14" i="1" l="1"/>
  <c r="G17" i="1"/>
  <c r="G13" i="1"/>
</calcChain>
</file>

<file path=xl/sharedStrings.xml><?xml version="1.0" encoding="utf-8"?>
<sst xmlns="http://schemas.openxmlformats.org/spreadsheetml/2006/main" count="32" uniqueCount="26">
  <si>
    <t>Rx</t>
  </si>
  <si>
    <t>Ry</t>
  </si>
  <si>
    <t>Rz</t>
  </si>
  <si>
    <t>Mx</t>
  </si>
  <si>
    <t>My</t>
  </si>
  <si>
    <t>Mz</t>
  </si>
  <si>
    <t>Base A</t>
  </si>
  <si>
    <t>Base B</t>
  </si>
  <si>
    <t>Base C</t>
  </si>
  <si>
    <t>Base D</t>
  </si>
  <si>
    <t>Base E</t>
  </si>
  <si>
    <t>Base F</t>
  </si>
  <si>
    <t>Vericação</t>
  </si>
  <si>
    <t>N</t>
  </si>
  <si>
    <t>Ft.sd [N]</t>
  </si>
  <si>
    <t>Fv.sd [N]</t>
  </si>
  <si>
    <t>Ft.rd [N]</t>
  </si>
  <si>
    <t>Fv.rd [N]</t>
  </si>
  <si>
    <t>V</t>
  </si>
  <si>
    <t xml:space="preserve">Base </t>
  </si>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</sst>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E+0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1" fillId="0" borderId="0" xfId="0" applyFont="1"/>
    <xf numFmtId="1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M22"/>
  <sheetViews>
    <sheetView tabSelected="1" topLeftCell="A4" zoomScale="115" zoomScaleNormal="115" workbookViewId="0">
      <selection activeCell="I20" sqref="I20"/>
    </sheetView>
  </sheetViews>
  <sheetFormatPr defaultRowHeight="15" x14ac:dyDescent="0.25"/>
  <cols>
    <col min="5" max="5" width="9.5703125" bestFit="1" customWidth="1"/>
    <col min="6" max="6" width="9.140625" bestFit="1" customWidth="1"/>
    <col min="8" max="8" width="9.85546875" bestFit="1" customWidth="1"/>
  </cols>
  <sheetData>
    <row r="4" spans="4:13" x14ac:dyDescent="0.25">
      <c r="E4" t="s">
        <v>0</v>
      </c>
      <c r="F4" t="s">
        <v>1</v>
      </c>
      <c r="G4" t="s">
        <v>2</v>
      </c>
      <c r="H4" t="s">
        <v>3</v>
      </c>
      <c r="I4" t="s">
        <v>4</v>
      </c>
      <c r="J4" t="s">
        <v>5</v>
      </c>
      <c r="K4" t="s">
        <v>19</v>
      </c>
      <c r="L4" t="s">
        <v>13</v>
      </c>
      <c r="M4" t="s">
        <v>18</v>
      </c>
    </row>
    <row r="5" spans="4:13" x14ac:dyDescent="0.25">
      <c r="D5" t="s">
        <v>6</v>
      </c>
      <c r="E5" s="3">
        <v>244.96</v>
      </c>
      <c r="F5" s="3">
        <v>187.65</v>
      </c>
      <c r="G5" s="3">
        <v>2997</v>
      </c>
      <c r="H5" s="1">
        <v>-3232200000</v>
      </c>
      <c r="I5">
        <v>-17216</v>
      </c>
      <c r="J5">
        <v>325.77999999999997</v>
      </c>
      <c r="K5" t="s">
        <v>20</v>
      </c>
      <c r="L5" s="3">
        <v>2997</v>
      </c>
      <c r="M5" s="3">
        <f>SQRT(E5^2 + F5^2)</f>
        <v>308.5740172146709</v>
      </c>
    </row>
    <row r="6" spans="4:13" x14ac:dyDescent="0.25">
      <c r="D6" t="s">
        <v>7</v>
      </c>
      <c r="E6" s="3">
        <v>242.11</v>
      </c>
      <c r="F6" s="3">
        <v>-179.97</v>
      </c>
      <c r="G6" s="3">
        <v>3013.2</v>
      </c>
      <c r="H6" s="1">
        <v>3114500000</v>
      </c>
      <c r="I6">
        <v>-17530</v>
      </c>
      <c r="J6">
        <v>-340.24</v>
      </c>
      <c r="K6" t="s">
        <v>21</v>
      </c>
      <c r="L6" s="3">
        <v>3013.2</v>
      </c>
      <c r="M6" s="3">
        <f t="shared" ref="M6:M10" si="0">SQRT(E6^2 + F6^2)</f>
        <v>301.6727581337102</v>
      </c>
    </row>
    <row r="7" spans="4:13" x14ac:dyDescent="0.25">
      <c r="D7" t="s">
        <v>8</v>
      </c>
      <c r="E7" s="3">
        <v>179.85</v>
      </c>
      <c r="F7" s="3">
        <v>-4870</v>
      </c>
      <c r="G7" s="3">
        <v>63275</v>
      </c>
      <c r="H7" s="1">
        <v>11821000</v>
      </c>
      <c r="I7">
        <v>-19766</v>
      </c>
      <c r="J7">
        <v>462.73</v>
      </c>
      <c r="K7" t="s">
        <v>22</v>
      </c>
      <c r="L7" s="3">
        <v>63275</v>
      </c>
      <c r="M7" s="3">
        <f t="shared" si="0"/>
        <v>4873.3198153312287</v>
      </c>
    </row>
    <row r="8" spans="4:13" x14ac:dyDescent="0.25">
      <c r="D8" t="s">
        <v>9</v>
      </c>
      <c r="E8" s="3">
        <v>185.89</v>
      </c>
      <c r="F8" s="3">
        <v>4859.6000000000004</v>
      </c>
      <c r="G8" s="3">
        <v>63222</v>
      </c>
      <c r="H8" s="1">
        <v>-11804000</v>
      </c>
      <c r="I8">
        <v>-19667</v>
      </c>
      <c r="J8">
        <v>-463.59</v>
      </c>
      <c r="K8" t="s">
        <v>23</v>
      </c>
      <c r="L8" s="3">
        <v>63222</v>
      </c>
      <c r="M8" s="3">
        <f t="shared" si="0"/>
        <v>4863.1540436325895</v>
      </c>
    </row>
    <row r="9" spans="4:13" x14ac:dyDescent="0.25">
      <c r="D9" t="s">
        <v>10</v>
      </c>
      <c r="E9" s="3">
        <v>-426.22</v>
      </c>
      <c r="F9" s="3">
        <v>-4132.8999999999996</v>
      </c>
      <c r="G9" s="3">
        <v>54427</v>
      </c>
      <c r="H9" s="1">
        <v>10172000</v>
      </c>
      <c r="I9">
        <v>7589</v>
      </c>
      <c r="J9">
        <v>-360.91</v>
      </c>
      <c r="K9" t="s">
        <v>24</v>
      </c>
      <c r="L9" s="3">
        <v>54427</v>
      </c>
      <c r="M9" s="3">
        <f t="shared" si="0"/>
        <v>4154.8195987792296</v>
      </c>
    </row>
    <row r="10" spans="4:13" x14ac:dyDescent="0.25">
      <c r="D10" t="s">
        <v>11</v>
      </c>
      <c r="E10" s="3">
        <v>-426.59</v>
      </c>
      <c r="F10" s="3">
        <v>4135.6000000000004</v>
      </c>
      <c r="G10" s="3">
        <v>54396</v>
      </c>
      <c r="H10" s="1">
        <v>-10180000</v>
      </c>
      <c r="I10">
        <v>7483.1</v>
      </c>
      <c r="J10">
        <v>373.16</v>
      </c>
      <c r="K10" t="s">
        <v>25</v>
      </c>
      <c r="L10" s="3">
        <v>54396</v>
      </c>
      <c r="M10" s="3">
        <f t="shared" si="0"/>
        <v>4157.5433116324839</v>
      </c>
    </row>
    <row r="12" spans="4:13" x14ac:dyDescent="0.25">
      <c r="E12" t="s">
        <v>14</v>
      </c>
      <c r="F12" t="s">
        <v>15</v>
      </c>
      <c r="G12" t="s">
        <v>12</v>
      </c>
    </row>
    <row r="13" spans="4:13" x14ac:dyDescent="0.25">
      <c r="D13" t="s">
        <v>6</v>
      </c>
      <c r="E13" s="3">
        <f>G5/4</f>
        <v>749.25</v>
      </c>
      <c r="F13" s="3">
        <f>SQRT(E5^2+F5^2)/4</f>
        <v>77.143504303667726</v>
      </c>
      <c r="G13" s="4">
        <f>(E13/$E$21)+(F13/$E$22)</f>
        <v>5.0277545448349096E-3</v>
      </c>
    </row>
    <row r="14" spans="4:13" x14ac:dyDescent="0.25">
      <c r="D14" t="s">
        <v>7</v>
      </c>
      <c r="E14" s="3">
        <f t="shared" ref="E14:E18" si="1">G6/4</f>
        <v>753.3</v>
      </c>
      <c r="F14" s="3">
        <f t="shared" ref="F14:F18" si="2">SQRT(E6^2+F6^2)/4</f>
        <v>75.418189533427551</v>
      </c>
      <c r="G14" s="4">
        <f t="shared" ref="G14:G18" si="3">(E14/$E$21)+(F14/$E$22)</f>
        <v>5.0323334246417427E-3</v>
      </c>
    </row>
    <row r="15" spans="4:13" x14ac:dyDescent="0.25">
      <c r="D15" t="s">
        <v>8</v>
      </c>
      <c r="E15" s="3">
        <f t="shared" si="1"/>
        <v>15818.75</v>
      </c>
      <c r="F15" s="3">
        <f t="shared" si="2"/>
        <v>1218.3299538328072</v>
      </c>
      <c r="G15" s="4">
        <f t="shared" si="3"/>
        <v>0.10182092937303762</v>
      </c>
    </row>
    <row r="16" spans="4:13" x14ac:dyDescent="0.25">
      <c r="D16" t="s">
        <v>9</v>
      </c>
      <c r="E16" s="3">
        <f t="shared" si="1"/>
        <v>15805.5</v>
      </c>
      <c r="F16" s="3">
        <f t="shared" si="2"/>
        <v>1215.7885109081474</v>
      </c>
      <c r="G16" s="4">
        <f t="shared" si="3"/>
        <v>0.10171959896861006</v>
      </c>
    </row>
    <row r="17" spans="4:10" x14ac:dyDescent="0.25">
      <c r="D17" t="s">
        <v>10</v>
      </c>
      <c r="E17" s="3">
        <f t="shared" si="1"/>
        <v>13606.75</v>
      </c>
      <c r="F17" s="3">
        <f t="shared" si="2"/>
        <v>1038.7048996948074</v>
      </c>
      <c r="G17" s="4">
        <f t="shared" si="3"/>
        <v>8.7485205439059244E-2</v>
      </c>
    </row>
    <row r="18" spans="4:10" x14ac:dyDescent="0.25">
      <c r="D18" t="s">
        <v>11</v>
      </c>
      <c r="E18" s="3">
        <f t="shared" si="1"/>
        <v>13599</v>
      </c>
      <c r="F18" s="3">
        <f t="shared" si="2"/>
        <v>1039.385827908121</v>
      </c>
      <c r="G18" s="4">
        <f t="shared" si="3"/>
        <v>8.7448799924657192E-2</v>
      </c>
    </row>
    <row r="19" spans="4:10" x14ac:dyDescent="0.25">
      <c r="J19" s="2"/>
    </row>
    <row r="20" spans="4:10" x14ac:dyDescent="0.25">
      <c r="I20" s="2"/>
    </row>
    <row r="21" spans="4:10" x14ac:dyDescent="0.25">
      <c r="D21" t="s">
        <v>16</v>
      </c>
      <c r="E21" s="1">
        <v>177800</v>
      </c>
    </row>
    <row r="22" spans="4:10" x14ac:dyDescent="0.25">
      <c r="D22" t="s">
        <v>17</v>
      </c>
      <c r="E22" s="1">
        <v>94800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Barros</dc:creator>
  <cp:lastModifiedBy>Paulo Barros</cp:lastModifiedBy>
  <dcterms:created xsi:type="dcterms:W3CDTF">2015-06-05T18:19:34Z</dcterms:created>
  <dcterms:modified xsi:type="dcterms:W3CDTF">2026-04-01T19:07:07Z</dcterms:modified>
</cp:coreProperties>
</file>